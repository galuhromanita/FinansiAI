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F10" i="1"/>
  <c r="E10" i="1"/>
  <c r="G10" i="1" s="1"/>
  <c r="D10" i="1"/>
  <c r="C10" i="1"/>
  <c r="G11" i="1"/>
  <c r="G9" i="1"/>
  <c r="G8" i="1"/>
  <c r="G7" i="1"/>
  <c r="G6" i="1"/>
  <c r="G5" i="1"/>
  <c r="D8" i="1"/>
  <c r="C8" i="1"/>
  <c r="F7" i="1"/>
  <c r="E7" i="1"/>
  <c r="D7" i="1"/>
  <c r="C7" i="1"/>
</calcChain>
</file>

<file path=xl/sharedStrings.xml><?xml version="1.0" encoding="utf-8"?>
<sst xmlns="http://schemas.openxmlformats.org/spreadsheetml/2006/main" count="17" uniqueCount="17">
  <si>
    <t>ecy</t>
  </si>
  <si>
    <t>yeyen</t>
  </si>
  <si>
    <t>dina</t>
  </si>
  <si>
    <t>indah</t>
  </si>
  <si>
    <t>eskrim vanila</t>
  </si>
  <si>
    <t>eskrim strawbery</t>
  </si>
  <si>
    <t>winter punch</t>
  </si>
  <si>
    <t>beef lasagna</t>
  </si>
  <si>
    <t>chicken royale</t>
  </si>
  <si>
    <t>PIZZA</t>
  </si>
  <si>
    <t>aqua botol</t>
  </si>
  <si>
    <t>Total</t>
  </si>
  <si>
    <t>TOTAL</t>
  </si>
  <si>
    <t>PPN</t>
  </si>
  <si>
    <t>GRAND TOTAL</t>
  </si>
  <si>
    <t>le mineral</t>
  </si>
  <si>
    <t>TOTAL BANGET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</si>
</sst>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0" fontId="2" fillId="2" borderId="0" xfId="0" applyFont="1" applyFill="1" applyAlignment="1">
      <alignment horizontal="center"/>
    </xf>
    <xf numFmtId="43" fontId="0" fillId="0" borderId="0" xfId="0" applyNumberFormat="1"/>
    <xf numFmtId="0" fontId="0" fillId="2" borderId="0" xfId="0" applyFill="1"/>
    <xf numFmtId="0" fontId="0" fillId="3" borderId="0" xfId="0" applyFill="1"/>
    <xf numFmtId="43" fontId="0" fillId="3" borderId="0" xfId="0" applyNumberFormat="1" applyFill="1"/>
    <xf numFmtId="0" fontId="2" fillId="0" borderId="0" xfId="0" applyFont="1" applyFill="1"/>
    <xf numFmtId="43" fontId="0" fillId="2" borderId="0" xfId="0" applyNumberFormat="1" applyFill="1"/>
    <xf numFmtId="0" fontId="2" fillId="2" borderId="0" xfId="0" applyFont="1" applyFill="1"/>
    <xf numFmtId="43" fontId="2" fillId="2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6"/>
  <sheetViews>
    <sheetView tabSelected="1" topLeftCell="A3" workbookViewId="0">
      <selection activeCell="I12" sqref="I12"/>
    </sheetView>
  </sheetViews>
  <sheetFormatPr defaultRowHeight="15" x14ac:dyDescent="0.25"/>
  <cols>
    <col min="2" max="2" width="16.140625" customWidth="1"/>
    <col min="3" max="4" width="11.5703125" bestFit="1" customWidth="1"/>
    <col min="5" max="6" width="10.5703125" bestFit="1" customWidth="1"/>
    <col min="7" max="7" width="11.5703125" bestFit="1" customWidth="1"/>
  </cols>
  <sheetData>
    <row r="4" spans="2:7" x14ac:dyDescent="0.25">
      <c r="C4" s="2" t="s">
        <v>0</v>
      </c>
      <c r="D4" s="2" t="s">
        <v>1</v>
      </c>
      <c r="E4" s="2" t="s">
        <v>2</v>
      </c>
      <c r="F4" s="2" t="s">
        <v>3</v>
      </c>
      <c r="G4" s="2" t="s">
        <v>11</v>
      </c>
    </row>
    <row r="5" spans="2:7" x14ac:dyDescent="0.25">
      <c r="B5" t="s">
        <v>4</v>
      </c>
      <c r="C5" s="1"/>
      <c r="D5" s="1">
        <v>24545</v>
      </c>
      <c r="E5" s="1"/>
      <c r="F5" s="1"/>
      <c r="G5" s="3">
        <f>SUM(C5:F5)</f>
        <v>24545</v>
      </c>
    </row>
    <row r="6" spans="2:7" x14ac:dyDescent="0.25">
      <c r="B6" t="s">
        <v>5</v>
      </c>
      <c r="C6" s="1"/>
      <c r="D6" s="1">
        <v>24545</v>
      </c>
      <c r="E6" s="1"/>
      <c r="F6" s="1"/>
      <c r="G6" s="3">
        <f t="shared" ref="G6:G11" si="0">SUM(C6:F6)</f>
        <v>24545</v>
      </c>
    </row>
    <row r="7" spans="2:7" x14ac:dyDescent="0.25">
      <c r="B7" t="s">
        <v>6</v>
      </c>
      <c r="C7" s="1">
        <f>127272/4</f>
        <v>31818</v>
      </c>
      <c r="D7" s="1">
        <f t="shared" ref="D7:F7" si="1">127272/4</f>
        <v>31818</v>
      </c>
      <c r="E7" s="1">
        <f t="shared" si="1"/>
        <v>31818</v>
      </c>
      <c r="F7" s="1">
        <f t="shared" si="1"/>
        <v>31818</v>
      </c>
      <c r="G7" s="3">
        <f t="shared" si="0"/>
        <v>127272</v>
      </c>
    </row>
    <row r="8" spans="2:7" x14ac:dyDescent="0.25">
      <c r="B8" t="s">
        <v>7</v>
      </c>
      <c r="C8" s="1">
        <f>116364/2</f>
        <v>58182</v>
      </c>
      <c r="D8" s="1">
        <f>116364/2</f>
        <v>58182</v>
      </c>
      <c r="E8" s="1"/>
      <c r="F8" s="1"/>
      <c r="G8" s="3">
        <f t="shared" si="0"/>
        <v>116364</v>
      </c>
    </row>
    <row r="9" spans="2:7" x14ac:dyDescent="0.25">
      <c r="B9" t="s">
        <v>8</v>
      </c>
      <c r="C9" s="1">
        <v>40000</v>
      </c>
      <c r="D9" s="1"/>
      <c r="E9" s="1"/>
      <c r="F9" s="1"/>
      <c r="G9" s="3">
        <f t="shared" si="0"/>
        <v>40000</v>
      </c>
    </row>
    <row r="10" spans="2:7" x14ac:dyDescent="0.25">
      <c r="B10" t="s">
        <v>9</v>
      </c>
      <c r="C10" s="1">
        <f>120000/4</f>
        <v>30000</v>
      </c>
      <c r="D10" s="1">
        <f t="shared" ref="D10:F10" si="2">120000/4</f>
        <v>30000</v>
      </c>
      <c r="E10" s="1">
        <f t="shared" si="2"/>
        <v>30000</v>
      </c>
      <c r="F10" s="1">
        <f t="shared" si="2"/>
        <v>30000</v>
      </c>
      <c r="G10" s="3">
        <f t="shared" si="0"/>
        <v>120000</v>
      </c>
    </row>
    <row r="11" spans="2:7" x14ac:dyDescent="0.25">
      <c r="B11" t="s">
        <v>10</v>
      </c>
      <c r="C11" s="1"/>
      <c r="D11" s="1">
        <v>14545</v>
      </c>
      <c r="E11" s="1"/>
      <c r="F11" s="1"/>
      <c r="G11" s="3">
        <f t="shared" si="0"/>
        <v>14545</v>
      </c>
    </row>
    <row r="12" spans="2:7" x14ac:dyDescent="0.25">
      <c r="B12" s="7" t="s">
        <v>12</v>
      </c>
      <c r="C12" s="3">
        <f>SUM(C5:C11)</f>
        <v>160000</v>
      </c>
      <c r="D12" s="3">
        <f t="shared" ref="D12:G12" si="3">SUM(D5:D11)</f>
        <v>183635</v>
      </c>
      <c r="E12" s="3">
        <f t="shared" si="3"/>
        <v>61818</v>
      </c>
      <c r="F12" s="3">
        <f t="shared" si="3"/>
        <v>61818</v>
      </c>
      <c r="G12" s="3">
        <f t="shared" si="3"/>
        <v>467271</v>
      </c>
    </row>
    <row r="13" spans="2:7" x14ac:dyDescent="0.25">
      <c r="B13" s="5" t="s">
        <v>13</v>
      </c>
      <c r="C13" s="6">
        <f>C12*10%</f>
        <v>16000</v>
      </c>
      <c r="D13" s="6">
        <f t="shared" ref="D13:G13" si="4">D12*10%</f>
        <v>18363.5</v>
      </c>
      <c r="E13" s="6">
        <f t="shared" si="4"/>
        <v>6181.8</v>
      </c>
      <c r="F13" s="6">
        <f t="shared" si="4"/>
        <v>6181.8</v>
      </c>
      <c r="G13" s="6">
        <f t="shared" si="4"/>
        <v>46727.100000000006</v>
      </c>
    </row>
    <row r="14" spans="2:7" x14ac:dyDescent="0.25">
      <c r="B14" s="4" t="s">
        <v>14</v>
      </c>
      <c r="C14" s="8">
        <f>SUM(C12:C13)</f>
        <v>176000</v>
      </c>
      <c r="D14" s="8">
        <f t="shared" ref="D14:G14" si="5">SUM(D12:D13)</f>
        <v>201998.5</v>
      </c>
      <c r="E14" s="8">
        <f t="shared" si="5"/>
        <v>67999.8</v>
      </c>
      <c r="F14" s="8">
        <f t="shared" si="5"/>
        <v>67999.8</v>
      </c>
      <c r="G14" s="8">
        <f t="shared" si="5"/>
        <v>513998.1</v>
      </c>
    </row>
    <row r="15" spans="2:7" x14ac:dyDescent="0.25">
      <c r="B15" t="s">
        <v>15</v>
      </c>
      <c r="C15" s="1">
        <v>3500</v>
      </c>
      <c r="D15" s="1">
        <v>3500</v>
      </c>
      <c r="E15" s="1">
        <v>3500</v>
      </c>
      <c r="F15" s="1">
        <v>3500</v>
      </c>
    </row>
    <row r="16" spans="2:7" x14ac:dyDescent="0.25">
      <c r="B16" s="9" t="s">
        <v>16</v>
      </c>
      <c r="C16" s="10">
        <f>SUM(C14:C15)</f>
        <v>179500</v>
      </c>
      <c r="D16" s="10">
        <f t="shared" ref="D16:F16" si="6">SUM(D14:D15)</f>
        <v>205498.5</v>
      </c>
      <c r="E16" s="10">
        <f t="shared" si="6"/>
        <v>71499.8</v>
      </c>
      <c r="F16" s="10">
        <f t="shared" si="6"/>
        <v>71499.8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2023-09-09T12:26:43Z</dcterms:created>
  <dcterms:modified xsi:type="dcterms:W3CDTF">2023-09-09T12:40:25Z</dcterms:modified>
</cp:coreProperties>
</file>