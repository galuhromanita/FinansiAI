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815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K4" i="1"/>
  <c r="J4" i="1"/>
  <c r="K5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7" i="1" l="1"/>
  <c r="K13" i="1"/>
  <c r="K12" i="1"/>
  <c r="K11" i="1"/>
  <c r="K10" i="1"/>
  <c r="K9" i="1"/>
  <c r="K8" i="1"/>
  <c r="K6" i="1"/>
  <c r="K3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/>
</calcChain>
</file>

<file path=xl/sharedStrings.xml><?xml version="1.0" encoding="utf-8"?>
<sst xmlns="http://schemas.openxmlformats.org/spreadsheetml/2006/main" count="121" uniqueCount="70">
  <si>
    <t>Nama Sales</t>
  </si>
  <si>
    <t>Bulan 1</t>
  </si>
  <si>
    <t>Bulan 2</t>
  </si>
  <si>
    <t>Bulan 3</t>
  </si>
  <si>
    <t>Bulan 4</t>
  </si>
  <si>
    <t>Bulan 5</t>
  </si>
  <si>
    <t>Bulan 6</t>
  </si>
  <si>
    <t xml:space="preserve">8.JUMLAH </t>
  </si>
  <si>
    <t>1. RATA-RATA</t>
  </si>
  <si>
    <t>2.NILAI HURUF</t>
  </si>
  <si>
    <t>4.NILAI TERENDAH</t>
  </si>
  <si>
    <t>5.PERINGKAT (Bulan 6)</t>
  </si>
  <si>
    <t>Agus</t>
  </si>
  <si>
    <t>Wawan</t>
  </si>
  <si>
    <t>Wiwit</t>
  </si>
  <si>
    <t>Budi</t>
  </si>
  <si>
    <t>Santoso</t>
  </si>
  <si>
    <t>Teguh</t>
  </si>
  <si>
    <t>Imam</t>
  </si>
  <si>
    <t>Iman</t>
  </si>
  <si>
    <t>Arif</t>
  </si>
  <si>
    <t>Atik</t>
  </si>
  <si>
    <t>wati</t>
  </si>
  <si>
    <t>Udin</t>
  </si>
  <si>
    <t>Eni</t>
  </si>
  <si>
    <t>Sigit</t>
  </si>
  <si>
    <t>Wahyu</t>
  </si>
  <si>
    <t>Tyuni</t>
  </si>
  <si>
    <t>Hendri</t>
  </si>
  <si>
    <t>Krisno</t>
  </si>
  <si>
    <t>Aris</t>
  </si>
  <si>
    <t>Fauzi</t>
  </si>
  <si>
    <t>Yanto</t>
  </si>
  <si>
    <t>Anto</t>
  </si>
  <si>
    <t>Tri</t>
  </si>
  <si>
    <t>Nur</t>
  </si>
  <si>
    <t>Neni</t>
  </si>
  <si>
    <t>6. JUMLAH NILAI ANGKA</t>
  </si>
  <si>
    <t>7. JUMLAH NILAI HURUF</t>
  </si>
  <si>
    <t>A</t>
  </si>
  <si>
    <t>B</t>
  </si>
  <si>
    <t>C</t>
  </si>
  <si>
    <t>D</t>
  </si>
  <si>
    <t>No.</t>
  </si>
  <si>
    <t>3.NILAI TERTINGGI</t>
  </si>
  <si>
    <t>1O</t>
  </si>
  <si>
    <t>TERTINGGI</t>
  </si>
  <si>
    <t>RENDAH</t>
  </si>
  <si>
    <t>CODE</t>
  </si>
  <si>
    <t>NAMA</t>
  </si>
  <si>
    <t>HARGA</t>
  </si>
  <si>
    <t>CARI KODE:</t>
  </si>
  <si>
    <t>NAMA:</t>
  </si>
  <si>
    <t>HARGA:</t>
  </si>
  <si>
    <t>9.HLOOKUP</t>
  </si>
  <si>
    <t>10.VLOOKUP</t>
  </si>
  <si>
    <t>ID</t>
  </si>
  <si>
    <t>Atika Ulfah Jamal, S.T.,M. Eng, M.T</t>
  </si>
  <si>
    <t>ABC</t>
  </si>
  <si>
    <t>Bambang Murdaka Eka Jati, Drs., M.S.</t>
  </si>
  <si>
    <t>Bambang Sulistiono, Ir., MSCE</t>
  </si>
  <si>
    <t>Berlian Kushari, S.T.,M. Eng</t>
  </si>
  <si>
    <t>UMUR</t>
  </si>
  <si>
    <t>Bachnas, Ir.,</t>
  </si>
  <si>
    <t>DEF</t>
  </si>
  <si>
    <t>GHI</t>
  </si>
  <si>
    <t>UMUR:</t>
  </si>
  <si>
    <t>Rp 2.000</t>
  </si>
  <si>
    <t>Rp 3.000</t>
  </si>
  <si>
    <t>Rp.  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</si>
</sst>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0" fillId="0" borderId="3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9"/>
  <sheetViews>
    <sheetView tabSelected="1" topLeftCell="H157" zoomScaleNormal="100" workbookViewId="0">
      <selection activeCell="D35" sqref="D35:G35"/>
    </sheetView>
  </sheetViews>
  <sheetFormatPr defaultRowHeight="15" x14ac:dyDescent="0.25"/>
  <cols>
    <col min="2" max="2" width="4.140625" bestFit="1" customWidth="1"/>
    <col min="3" max="3" width="11.140625" style="5" bestFit="1" customWidth="1"/>
    <col min="5" max="6" width="7.42578125" bestFit="1" customWidth="1"/>
    <col min="10" max="10" width="10.140625" bestFit="1" customWidth="1"/>
    <col min="11" max="11" width="13.28515625" customWidth="1"/>
    <col min="12" max="12" width="13.85546875" bestFit="1" customWidth="1"/>
    <col min="13" max="14" width="17.42578125" bestFit="1" customWidth="1"/>
    <col min="15" max="15" width="21.140625" bestFit="1" customWidth="1"/>
    <col min="16" max="16" width="10.85546875" customWidth="1"/>
    <col min="17" max="17" width="11.28515625" customWidth="1"/>
  </cols>
  <sheetData>
    <row r="2" spans="2:17" x14ac:dyDescent="0.25">
      <c r="B2" s="10" t="s">
        <v>43</v>
      </c>
      <c r="C2" s="11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2" t="s">
        <v>7</v>
      </c>
      <c r="K2" s="12" t="s">
        <v>8</v>
      </c>
      <c r="L2" s="12" t="s">
        <v>9</v>
      </c>
      <c r="M2" s="12" t="s">
        <v>44</v>
      </c>
      <c r="N2" s="12" t="s">
        <v>10</v>
      </c>
      <c r="O2" s="12" t="s">
        <v>11</v>
      </c>
      <c r="P2" s="13" t="s">
        <v>37</v>
      </c>
      <c r="Q2" s="13"/>
    </row>
    <row r="3" spans="2:17" x14ac:dyDescent="0.25">
      <c r="B3" s="4">
        <v>1</v>
      </c>
      <c r="C3" s="9" t="s">
        <v>12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f t="shared" ref="J3:J27" si="0">SUM(D3:I3)</f>
        <v>60</v>
      </c>
      <c r="K3" s="4">
        <f>AVERAGE(D3:I3)</f>
        <v>10</v>
      </c>
      <c r="L3" s="4" t="s">
        <v>39</v>
      </c>
      <c r="M3" s="4">
        <v>10</v>
      </c>
      <c r="N3" s="4">
        <v>10</v>
      </c>
      <c r="O3" s="4" t="s">
        <v>46</v>
      </c>
      <c r="P3" s="8">
        <v>10</v>
      </c>
      <c r="Q3" s="4">
        <v>7</v>
      </c>
    </row>
    <row r="4" spans="2:17" x14ac:dyDescent="0.25">
      <c r="B4" s="4">
        <v>2</v>
      </c>
      <c r="C4" s="9" t="s">
        <v>13</v>
      </c>
      <c r="D4" s="4">
        <v>3</v>
      </c>
      <c r="E4" s="4">
        <v>10</v>
      </c>
      <c r="F4" s="4">
        <v>4</v>
      </c>
      <c r="G4" s="4">
        <v>7</v>
      </c>
      <c r="H4" s="4">
        <v>9</v>
      </c>
      <c r="I4" s="4">
        <v>5</v>
      </c>
      <c r="J4" s="4">
        <f>SUM(D4:I4)</f>
        <v>38</v>
      </c>
      <c r="K4" s="4">
        <f>AVERAGE(D4:I4)</f>
        <v>6.333333333333333</v>
      </c>
      <c r="L4" s="4" t="s">
        <v>40</v>
      </c>
      <c r="M4" s="4">
        <v>10</v>
      </c>
      <c r="N4" s="4">
        <v>3</v>
      </c>
      <c r="O4" s="4" t="s">
        <v>47</v>
      </c>
      <c r="P4" s="8">
        <v>9</v>
      </c>
      <c r="Q4" s="4">
        <v>19</v>
      </c>
    </row>
    <row r="5" spans="2:17" x14ac:dyDescent="0.25">
      <c r="B5" s="4">
        <v>3</v>
      </c>
      <c r="C5" s="9" t="s">
        <v>14</v>
      </c>
      <c r="D5" s="4">
        <v>5</v>
      </c>
      <c r="E5" s="4">
        <v>2</v>
      </c>
      <c r="F5" s="4">
        <v>5</v>
      </c>
      <c r="G5" s="4">
        <v>7</v>
      </c>
      <c r="H5" s="4">
        <v>7</v>
      </c>
      <c r="I5" s="4">
        <v>7</v>
      </c>
      <c r="J5" s="4">
        <f t="shared" si="0"/>
        <v>33</v>
      </c>
      <c r="K5" s="4">
        <f>AVERAGE(D5:I5)</f>
        <v>5.5</v>
      </c>
      <c r="L5" s="4" t="s">
        <v>40</v>
      </c>
      <c r="M5" s="4">
        <v>7</v>
      </c>
      <c r="N5" s="4">
        <v>2</v>
      </c>
      <c r="O5" s="4" t="s">
        <v>47</v>
      </c>
      <c r="P5" s="8">
        <v>8</v>
      </c>
      <c r="Q5" s="4">
        <v>13</v>
      </c>
    </row>
    <row r="6" spans="2:17" x14ac:dyDescent="0.25">
      <c r="B6" s="4">
        <v>4</v>
      </c>
      <c r="C6" s="9" t="s">
        <v>15</v>
      </c>
      <c r="D6" s="4">
        <v>7</v>
      </c>
      <c r="E6" s="4">
        <v>6</v>
      </c>
      <c r="F6" s="4">
        <v>7</v>
      </c>
      <c r="G6" s="4">
        <v>2</v>
      </c>
      <c r="H6" s="4">
        <v>3</v>
      </c>
      <c r="I6" s="4">
        <v>8</v>
      </c>
      <c r="J6" s="4">
        <f t="shared" si="0"/>
        <v>33</v>
      </c>
      <c r="K6" s="4">
        <f t="shared" ref="K5:K13" si="1">AVERAGE(D6:I6)</f>
        <v>5.5</v>
      </c>
      <c r="L6" s="4" t="s">
        <v>40</v>
      </c>
      <c r="M6" s="4">
        <v>8</v>
      </c>
      <c r="N6" s="4">
        <v>2</v>
      </c>
      <c r="O6" s="4" t="s">
        <v>46</v>
      </c>
      <c r="P6" s="8">
        <v>7</v>
      </c>
      <c r="Q6" s="4">
        <v>16</v>
      </c>
    </row>
    <row r="7" spans="2:17" x14ac:dyDescent="0.25">
      <c r="B7" s="4">
        <v>5</v>
      </c>
      <c r="C7" s="9" t="s">
        <v>16</v>
      </c>
      <c r="D7" s="4">
        <v>7</v>
      </c>
      <c r="E7" s="4">
        <v>5</v>
      </c>
      <c r="F7" s="4">
        <v>8</v>
      </c>
      <c r="G7" s="4">
        <v>6</v>
      </c>
      <c r="H7" s="4">
        <v>4</v>
      </c>
      <c r="I7" s="4">
        <v>1</v>
      </c>
      <c r="J7" s="4">
        <f t="shared" si="0"/>
        <v>31</v>
      </c>
      <c r="K7" s="4">
        <f t="shared" si="1"/>
        <v>5.166666666666667</v>
      </c>
      <c r="L7" s="4" t="s">
        <v>40</v>
      </c>
      <c r="M7" s="4">
        <v>8</v>
      </c>
      <c r="N7" s="4">
        <v>1</v>
      </c>
      <c r="O7" s="4" t="s">
        <v>47</v>
      </c>
      <c r="P7" s="8">
        <v>6</v>
      </c>
      <c r="Q7" s="4">
        <v>10</v>
      </c>
    </row>
    <row r="8" spans="2:17" x14ac:dyDescent="0.25">
      <c r="B8" s="4">
        <v>6</v>
      </c>
      <c r="C8" s="9" t="s">
        <v>17</v>
      </c>
      <c r="D8" s="4">
        <v>8</v>
      </c>
      <c r="E8" s="4">
        <v>7</v>
      </c>
      <c r="F8" s="4">
        <v>9</v>
      </c>
      <c r="G8" s="4">
        <v>5</v>
      </c>
      <c r="H8" s="4">
        <v>1</v>
      </c>
      <c r="I8" s="4">
        <v>3</v>
      </c>
      <c r="J8" s="4">
        <f t="shared" si="0"/>
        <v>33</v>
      </c>
      <c r="K8" s="4">
        <f t="shared" si="1"/>
        <v>5.5</v>
      </c>
      <c r="L8" s="4" t="s">
        <v>40</v>
      </c>
      <c r="M8" s="4">
        <v>9</v>
      </c>
      <c r="N8" s="4">
        <v>1</v>
      </c>
      <c r="O8" s="4" t="s">
        <v>47</v>
      </c>
      <c r="P8" s="8">
        <v>5</v>
      </c>
      <c r="Q8" s="4">
        <v>13</v>
      </c>
    </row>
    <row r="9" spans="2:17" x14ac:dyDescent="0.25">
      <c r="B9" s="4">
        <v>7</v>
      </c>
      <c r="C9" s="9" t="s">
        <v>18</v>
      </c>
      <c r="D9" s="4">
        <v>3</v>
      </c>
      <c r="E9" s="4">
        <v>3</v>
      </c>
      <c r="F9" s="4">
        <v>9</v>
      </c>
      <c r="G9" s="4">
        <v>7</v>
      </c>
      <c r="H9" s="4">
        <v>5</v>
      </c>
      <c r="I9" s="4">
        <v>3</v>
      </c>
      <c r="J9" s="4">
        <f t="shared" si="0"/>
        <v>30</v>
      </c>
      <c r="K9" s="4">
        <f t="shared" si="1"/>
        <v>5</v>
      </c>
      <c r="L9" s="4" t="s">
        <v>40</v>
      </c>
      <c r="M9" s="4">
        <v>9</v>
      </c>
      <c r="N9" s="4">
        <v>3</v>
      </c>
      <c r="O9" s="4" t="s">
        <v>47</v>
      </c>
      <c r="P9" s="8">
        <v>4</v>
      </c>
      <c r="Q9" s="4">
        <v>3</v>
      </c>
    </row>
    <row r="10" spans="2:17" x14ac:dyDescent="0.25">
      <c r="B10" s="4">
        <v>8</v>
      </c>
      <c r="C10" s="9" t="s">
        <v>19</v>
      </c>
      <c r="D10" s="4">
        <v>9</v>
      </c>
      <c r="E10" s="4">
        <v>9</v>
      </c>
      <c r="F10" s="4">
        <v>6</v>
      </c>
      <c r="G10" s="4">
        <v>3</v>
      </c>
      <c r="H10" s="4">
        <v>0</v>
      </c>
      <c r="I10" s="4">
        <v>3</v>
      </c>
      <c r="J10" s="4">
        <f t="shared" si="0"/>
        <v>30</v>
      </c>
      <c r="K10" s="4">
        <f t="shared" si="1"/>
        <v>5</v>
      </c>
      <c r="L10" s="4" t="s">
        <v>40</v>
      </c>
      <c r="M10" s="4">
        <v>9</v>
      </c>
      <c r="N10" s="4">
        <v>0</v>
      </c>
      <c r="O10" s="4" t="s">
        <v>47</v>
      </c>
      <c r="P10" s="8">
        <v>3</v>
      </c>
      <c r="Q10" s="4">
        <v>12</v>
      </c>
    </row>
    <row r="11" spans="2:17" x14ac:dyDescent="0.25">
      <c r="B11" s="4">
        <v>9</v>
      </c>
      <c r="C11" s="9" t="s">
        <v>20</v>
      </c>
      <c r="D11" s="4">
        <v>10</v>
      </c>
      <c r="E11" s="4">
        <v>5</v>
      </c>
      <c r="F11" s="4">
        <v>5</v>
      </c>
      <c r="G11" s="4">
        <v>9</v>
      </c>
      <c r="H11" s="4">
        <v>10</v>
      </c>
      <c r="I11" s="4">
        <v>7</v>
      </c>
      <c r="J11" s="4">
        <f t="shared" si="0"/>
        <v>46</v>
      </c>
      <c r="K11" s="4">
        <f t="shared" si="1"/>
        <v>7.666666666666667</v>
      </c>
      <c r="L11" s="4" t="s">
        <v>39</v>
      </c>
      <c r="M11" s="4" t="s">
        <v>45</v>
      </c>
      <c r="N11" s="4">
        <v>5</v>
      </c>
      <c r="O11" s="4" t="s">
        <v>47</v>
      </c>
      <c r="P11" s="8">
        <v>2</v>
      </c>
      <c r="Q11" s="4">
        <v>4</v>
      </c>
    </row>
    <row r="12" spans="2:17" x14ac:dyDescent="0.25">
      <c r="B12" s="4">
        <v>10</v>
      </c>
      <c r="C12" s="9" t="s">
        <v>21</v>
      </c>
      <c r="D12" s="4">
        <v>2</v>
      </c>
      <c r="E12" s="4">
        <v>9</v>
      </c>
      <c r="F12" s="4">
        <v>7</v>
      </c>
      <c r="G12" s="4">
        <v>5</v>
      </c>
      <c r="H12" s="4">
        <v>3</v>
      </c>
      <c r="I12" s="4">
        <v>1</v>
      </c>
      <c r="J12" s="4">
        <f t="shared" si="0"/>
        <v>27</v>
      </c>
      <c r="K12" s="4">
        <f t="shared" si="1"/>
        <v>4.5</v>
      </c>
      <c r="L12" s="4" t="s">
        <v>40</v>
      </c>
      <c r="M12" s="4">
        <v>9</v>
      </c>
      <c r="N12" s="4">
        <v>1</v>
      </c>
      <c r="O12" s="4" t="s">
        <v>47</v>
      </c>
      <c r="P12" s="8">
        <v>1</v>
      </c>
      <c r="Q12" s="4">
        <v>3</v>
      </c>
    </row>
    <row r="13" spans="2:17" x14ac:dyDescent="0.25">
      <c r="B13" s="4">
        <v>11</v>
      </c>
      <c r="C13" s="9" t="s">
        <v>22</v>
      </c>
      <c r="D13" s="4">
        <v>6</v>
      </c>
      <c r="E13" s="4">
        <v>8</v>
      </c>
      <c r="F13" s="4">
        <v>3</v>
      </c>
      <c r="G13" s="4">
        <v>9</v>
      </c>
      <c r="H13" s="4">
        <v>3</v>
      </c>
      <c r="I13" s="4">
        <v>2</v>
      </c>
      <c r="J13" s="4">
        <f t="shared" si="0"/>
        <v>31</v>
      </c>
      <c r="K13" s="4">
        <f t="shared" si="1"/>
        <v>5.166666666666667</v>
      </c>
      <c r="L13" s="4" t="s">
        <v>40</v>
      </c>
      <c r="M13" s="4">
        <v>9</v>
      </c>
      <c r="N13" s="4">
        <v>2</v>
      </c>
      <c r="O13" s="4" t="s">
        <v>47</v>
      </c>
    </row>
    <row r="14" spans="2:17" x14ac:dyDescent="0.25">
      <c r="B14" s="4">
        <v>12</v>
      </c>
      <c r="C14" s="9" t="s">
        <v>23</v>
      </c>
      <c r="D14" s="4">
        <v>5</v>
      </c>
      <c r="E14" s="4">
        <v>10</v>
      </c>
      <c r="F14" s="4">
        <v>9</v>
      </c>
      <c r="G14" s="4">
        <v>8</v>
      </c>
      <c r="H14" s="4">
        <v>6</v>
      </c>
      <c r="I14" s="4">
        <v>8</v>
      </c>
      <c r="J14" s="4">
        <f t="shared" si="0"/>
        <v>46</v>
      </c>
      <c r="K14" s="4">
        <f>AVERAGE(D14:I14)</f>
        <v>7.666666666666667</v>
      </c>
      <c r="L14" s="4" t="s">
        <v>39</v>
      </c>
      <c r="M14" s="4">
        <v>10</v>
      </c>
      <c r="N14" s="4">
        <v>5</v>
      </c>
      <c r="O14" s="4" t="s">
        <v>46</v>
      </c>
      <c r="P14" s="14" t="s">
        <v>38</v>
      </c>
      <c r="Q14" s="15"/>
    </row>
    <row r="15" spans="2:17" x14ac:dyDescent="0.25">
      <c r="B15" s="4">
        <v>13</v>
      </c>
      <c r="C15" s="9" t="s">
        <v>24</v>
      </c>
      <c r="D15" s="4">
        <v>7</v>
      </c>
      <c r="E15" s="4">
        <v>3</v>
      </c>
      <c r="F15" s="4">
        <v>5</v>
      </c>
      <c r="G15" s="4">
        <v>10</v>
      </c>
      <c r="H15" s="4">
        <v>6</v>
      </c>
      <c r="I15" s="4">
        <v>9</v>
      </c>
      <c r="J15" s="4">
        <f t="shared" si="0"/>
        <v>40</v>
      </c>
      <c r="K15" s="4">
        <f>AVERAGE(D15:I15)</f>
        <v>6.666666666666667</v>
      </c>
      <c r="L15" s="4" t="s">
        <v>40</v>
      </c>
      <c r="M15" s="4">
        <v>10</v>
      </c>
      <c r="N15" s="4">
        <v>3</v>
      </c>
      <c r="O15" s="4" t="s">
        <v>46</v>
      </c>
      <c r="P15" s="16" t="s">
        <v>39</v>
      </c>
      <c r="Q15" s="4">
        <v>7</v>
      </c>
    </row>
    <row r="16" spans="2:17" x14ac:dyDescent="0.25">
      <c r="B16" s="4">
        <v>14</v>
      </c>
      <c r="C16" s="9" t="s">
        <v>25</v>
      </c>
      <c r="D16" s="4">
        <v>3</v>
      </c>
      <c r="E16" s="4">
        <v>5</v>
      </c>
      <c r="F16" s="4">
        <v>9</v>
      </c>
      <c r="G16" s="4">
        <v>3</v>
      </c>
      <c r="H16" s="4">
        <v>7</v>
      </c>
      <c r="I16" s="4">
        <v>9</v>
      </c>
      <c r="J16" s="4">
        <f t="shared" si="0"/>
        <v>36</v>
      </c>
      <c r="K16" s="4">
        <f>AVERAGE(D16:I16)</f>
        <v>6</v>
      </c>
      <c r="L16" s="4" t="s">
        <v>40</v>
      </c>
      <c r="M16" s="4">
        <v>9</v>
      </c>
      <c r="N16" s="4">
        <v>3</v>
      </c>
      <c r="O16" s="4" t="s">
        <v>46</v>
      </c>
      <c r="P16" s="16" t="s">
        <v>40</v>
      </c>
      <c r="Q16" s="4">
        <v>17</v>
      </c>
    </row>
    <row r="17" spans="2:17" x14ac:dyDescent="0.25">
      <c r="B17" s="4">
        <v>15</v>
      </c>
      <c r="C17" s="9" t="s">
        <v>26</v>
      </c>
      <c r="D17" s="4">
        <v>9</v>
      </c>
      <c r="E17" s="4">
        <v>7</v>
      </c>
      <c r="F17" s="4">
        <v>8</v>
      </c>
      <c r="G17" s="4">
        <v>5</v>
      </c>
      <c r="H17" s="4">
        <v>2</v>
      </c>
      <c r="I17" s="4">
        <v>6</v>
      </c>
      <c r="J17" s="4">
        <f t="shared" si="0"/>
        <v>37</v>
      </c>
      <c r="K17" s="4">
        <f>AVERAGE(D17:I17)</f>
        <v>6.166666666666667</v>
      </c>
      <c r="L17" s="4" t="s">
        <v>40</v>
      </c>
      <c r="M17" s="4">
        <v>9</v>
      </c>
      <c r="N17" s="4">
        <v>2</v>
      </c>
      <c r="O17" s="4" t="s">
        <v>47</v>
      </c>
      <c r="P17" s="16" t="s">
        <v>41</v>
      </c>
      <c r="Q17" s="4">
        <v>1</v>
      </c>
    </row>
    <row r="18" spans="2:17" x14ac:dyDescent="0.25">
      <c r="B18" s="4">
        <v>16</v>
      </c>
      <c r="C18" s="9" t="s">
        <v>27</v>
      </c>
      <c r="D18" s="4">
        <v>5</v>
      </c>
      <c r="E18" s="4">
        <v>8</v>
      </c>
      <c r="F18" s="4">
        <v>10</v>
      </c>
      <c r="G18" s="4">
        <v>7</v>
      </c>
      <c r="H18" s="4">
        <v>6</v>
      </c>
      <c r="I18" s="4">
        <v>5</v>
      </c>
      <c r="J18" s="4">
        <f t="shared" si="0"/>
        <v>41</v>
      </c>
      <c r="K18" s="4">
        <f>AVERAGE(D18:I18)</f>
        <v>6.833333333333333</v>
      </c>
      <c r="L18" s="4" t="s">
        <v>40</v>
      </c>
      <c r="M18" s="4">
        <v>10</v>
      </c>
      <c r="N18" s="4">
        <v>5</v>
      </c>
      <c r="O18" s="4" t="s">
        <v>47</v>
      </c>
      <c r="P18" s="16" t="s">
        <v>42</v>
      </c>
      <c r="Q18" s="4">
        <v>0</v>
      </c>
    </row>
    <row r="19" spans="2:17" x14ac:dyDescent="0.25">
      <c r="B19" s="4">
        <v>17</v>
      </c>
      <c r="C19" s="9" t="s">
        <v>28</v>
      </c>
      <c r="D19" s="4">
        <v>9</v>
      </c>
      <c r="E19" s="4">
        <v>9</v>
      </c>
      <c r="F19" s="4">
        <v>3</v>
      </c>
      <c r="G19" s="4">
        <v>8</v>
      </c>
      <c r="H19" s="4">
        <v>5</v>
      </c>
      <c r="I19" s="4">
        <v>7</v>
      </c>
      <c r="J19" s="4">
        <f t="shared" si="0"/>
        <v>41</v>
      </c>
      <c r="K19" s="4">
        <f>AVERAGE(D19:I19)</f>
        <v>6.833333333333333</v>
      </c>
      <c r="L19" s="4" t="s">
        <v>40</v>
      </c>
      <c r="M19" s="4">
        <v>9</v>
      </c>
      <c r="N19" s="4">
        <v>3</v>
      </c>
      <c r="O19" s="4" t="s">
        <v>47</v>
      </c>
      <c r="P19" s="1"/>
      <c r="Q19" s="1"/>
    </row>
    <row r="20" spans="2:17" x14ac:dyDescent="0.25">
      <c r="B20" s="4">
        <v>18</v>
      </c>
      <c r="C20" s="9" t="s">
        <v>29</v>
      </c>
      <c r="D20" s="4">
        <v>8</v>
      </c>
      <c r="E20" s="4">
        <v>9</v>
      </c>
      <c r="F20" s="4">
        <v>5</v>
      </c>
      <c r="G20" s="4">
        <v>9</v>
      </c>
      <c r="H20" s="4">
        <v>7</v>
      </c>
      <c r="I20" s="4">
        <v>3</v>
      </c>
      <c r="J20" s="4">
        <f t="shared" si="0"/>
        <v>41</v>
      </c>
      <c r="K20" s="4">
        <f>AVERAGE(D20:I20)</f>
        <v>6.833333333333333</v>
      </c>
      <c r="L20" s="4" t="s">
        <v>40</v>
      </c>
      <c r="M20" s="4">
        <v>9</v>
      </c>
      <c r="N20" s="4">
        <v>3</v>
      </c>
      <c r="O20" s="4" t="s">
        <v>47</v>
      </c>
    </row>
    <row r="21" spans="2:17" x14ac:dyDescent="0.25">
      <c r="B21" s="4">
        <v>19</v>
      </c>
      <c r="C21" s="9" t="s">
        <v>30</v>
      </c>
      <c r="D21" s="4">
        <v>10</v>
      </c>
      <c r="E21" s="4">
        <v>7</v>
      </c>
      <c r="F21" s="4">
        <v>7</v>
      </c>
      <c r="G21" s="4">
        <v>9</v>
      </c>
      <c r="H21" s="4">
        <v>3</v>
      </c>
      <c r="I21" s="4">
        <v>9</v>
      </c>
      <c r="J21" s="4">
        <f t="shared" si="0"/>
        <v>45</v>
      </c>
      <c r="K21" s="4">
        <f>AVERAGE(D21:I21)</f>
        <v>7.5</v>
      </c>
      <c r="L21" s="4" t="s">
        <v>39</v>
      </c>
      <c r="M21" s="4">
        <v>10</v>
      </c>
      <c r="N21" s="4">
        <v>3</v>
      </c>
      <c r="O21" s="4" t="s">
        <v>46</v>
      </c>
    </row>
    <row r="22" spans="2:17" x14ac:dyDescent="0.25">
      <c r="B22" s="4">
        <v>20</v>
      </c>
      <c r="C22" s="9" t="s">
        <v>31</v>
      </c>
      <c r="D22" s="4">
        <v>3</v>
      </c>
      <c r="E22" s="4">
        <v>8</v>
      </c>
      <c r="F22" s="4">
        <v>8</v>
      </c>
      <c r="G22" s="4">
        <v>7</v>
      </c>
      <c r="H22" s="4">
        <v>9</v>
      </c>
      <c r="I22" s="4">
        <v>9</v>
      </c>
      <c r="J22" s="4">
        <f t="shared" si="0"/>
        <v>44</v>
      </c>
      <c r="K22" s="4">
        <f>AVERAGE(D22:I22)</f>
        <v>7.333333333333333</v>
      </c>
      <c r="L22" s="4" t="s">
        <v>39</v>
      </c>
      <c r="M22" s="4">
        <v>9</v>
      </c>
      <c r="N22" s="4">
        <v>3</v>
      </c>
      <c r="O22" s="4" t="s">
        <v>46</v>
      </c>
    </row>
    <row r="23" spans="2:17" x14ac:dyDescent="0.25">
      <c r="B23" s="4">
        <v>21</v>
      </c>
      <c r="C23" s="9" t="s">
        <v>32</v>
      </c>
      <c r="D23" s="4">
        <v>5</v>
      </c>
      <c r="E23" s="4">
        <v>9</v>
      </c>
      <c r="F23" s="4">
        <v>9</v>
      </c>
      <c r="G23" s="4">
        <v>8</v>
      </c>
      <c r="H23" s="4">
        <v>5</v>
      </c>
      <c r="I23" s="4">
        <v>6</v>
      </c>
      <c r="J23" s="4">
        <f t="shared" si="0"/>
        <v>42</v>
      </c>
      <c r="K23" s="4">
        <f>AVERAGE(D23:I23)</f>
        <v>7</v>
      </c>
      <c r="L23" s="4" t="s">
        <v>40</v>
      </c>
      <c r="M23" s="4">
        <v>9</v>
      </c>
      <c r="N23" s="4">
        <v>5</v>
      </c>
      <c r="O23" s="4" t="s">
        <v>47</v>
      </c>
    </row>
    <row r="24" spans="2:17" x14ac:dyDescent="0.25">
      <c r="B24" s="4">
        <v>22</v>
      </c>
      <c r="C24" s="9" t="s">
        <v>33</v>
      </c>
      <c r="D24" s="4">
        <v>7</v>
      </c>
      <c r="E24" s="4">
        <v>9</v>
      </c>
      <c r="F24" s="4">
        <v>9</v>
      </c>
      <c r="G24" s="4">
        <v>9</v>
      </c>
      <c r="H24" s="4">
        <v>9</v>
      </c>
      <c r="I24" s="4">
        <v>9</v>
      </c>
      <c r="J24" s="4">
        <f t="shared" si="0"/>
        <v>52</v>
      </c>
      <c r="K24" s="4">
        <f>AVERAGE(D24:I24)</f>
        <v>8.6666666666666661</v>
      </c>
      <c r="L24" s="4" t="s">
        <v>39</v>
      </c>
      <c r="M24" s="4">
        <v>9</v>
      </c>
      <c r="N24" s="4">
        <v>7</v>
      </c>
      <c r="O24" s="4" t="s">
        <v>46</v>
      </c>
    </row>
    <row r="25" spans="2:17" x14ac:dyDescent="0.25">
      <c r="B25" s="4">
        <v>23</v>
      </c>
      <c r="C25" s="9" t="s">
        <v>34</v>
      </c>
      <c r="D25" s="4">
        <v>8</v>
      </c>
      <c r="E25" s="4">
        <v>8</v>
      </c>
      <c r="F25" s="4">
        <v>8</v>
      </c>
      <c r="G25" s="4">
        <v>9</v>
      </c>
      <c r="H25" s="4">
        <v>8</v>
      </c>
      <c r="I25" s="4">
        <v>8</v>
      </c>
      <c r="J25" s="4">
        <f t="shared" si="0"/>
        <v>49</v>
      </c>
      <c r="K25" s="4">
        <f>AVERAGE(D25:I25)</f>
        <v>8.1666666666666661</v>
      </c>
      <c r="L25" s="4" t="s">
        <v>39</v>
      </c>
      <c r="M25" s="4">
        <v>9</v>
      </c>
      <c r="N25" s="4">
        <v>8</v>
      </c>
      <c r="O25" s="4" t="s">
        <v>46</v>
      </c>
    </row>
    <row r="26" spans="2:17" x14ac:dyDescent="0.25">
      <c r="B26" s="4">
        <v>24</v>
      </c>
      <c r="C26" s="9" t="s">
        <v>35</v>
      </c>
      <c r="D26" s="4">
        <v>6</v>
      </c>
      <c r="E26" s="4">
        <v>2</v>
      </c>
      <c r="F26" s="4">
        <v>1</v>
      </c>
      <c r="G26" s="4">
        <v>2</v>
      </c>
      <c r="H26" s="4">
        <v>1</v>
      </c>
      <c r="I26" s="4">
        <v>4</v>
      </c>
      <c r="J26" s="4">
        <f t="shared" si="0"/>
        <v>16</v>
      </c>
      <c r="K26" s="4">
        <f>AVERAGE(D26:I26)</f>
        <v>2.6666666666666665</v>
      </c>
      <c r="L26" s="4" t="s">
        <v>41</v>
      </c>
      <c r="M26" s="4">
        <v>6</v>
      </c>
      <c r="N26" s="4">
        <v>1</v>
      </c>
      <c r="O26" s="4" t="s">
        <v>47</v>
      </c>
    </row>
    <row r="27" spans="2:17" x14ac:dyDescent="0.25">
      <c r="B27" s="4">
        <v>25</v>
      </c>
      <c r="C27" s="9" t="s">
        <v>36</v>
      </c>
      <c r="D27" s="4">
        <v>9</v>
      </c>
      <c r="E27" s="4">
        <v>9</v>
      </c>
      <c r="F27" s="4">
        <v>6</v>
      </c>
      <c r="G27" s="4">
        <v>8</v>
      </c>
      <c r="H27" s="4">
        <v>3</v>
      </c>
      <c r="I27" s="4">
        <v>6</v>
      </c>
      <c r="J27" s="4">
        <f t="shared" si="0"/>
        <v>41</v>
      </c>
      <c r="K27" s="4">
        <f>AVERAGE(D27:I27)</f>
        <v>6.833333333333333</v>
      </c>
      <c r="L27" s="4" t="s">
        <v>40</v>
      </c>
      <c r="M27" s="4">
        <v>9</v>
      </c>
      <c r="N27" s="4">
        <v>3</v>
      </c>
      <c r="O27" s="4" t="s">
        <v>47</v>
      </c>
    </row>
    <row r="29" spans="2:17" x14ac:dyDescent="0.25">
      <c r="D29" t="s">
        <v>54</v>
      </c>
    </row>
    <row r="30" spans="2:17" x14ac:dyDescent="0.25">
      <c r="C30" s="11" t="s">
        <v>48</v>
      </c>
      <c r="D30" s="15">
        <v>101</v>
      </c>
      <c r="E30" s="15"/>
      <c r="F30" s="15"/>
      <c r="G30" s="15"/>
      <c r="H30" s="33">
        <v>102</v>
      </c>
      <c r="I30" s="33">
        <v>103</v>
      </c>
    </row>
    <row r="31" spans="2:17" x14ac:dyDescent="0.25">
      <c r="C31" s="11" t="s">
        <v>49</v>
      </c>
      <c r="D31" s="3" t="s">
        <v>58</v>
      </c>
      <c r="E31" s="3"/>
      <c r="F31" s="3"/>
      <c r="G31" s="3"/>
      <c r="H31" s="17" t="s">
        <v>64</v>
      </c>
      <c r="I31" s="17" t="s">
        <v>65</v>
      </c>
    </row>
    <row r="32" spans="2:17" x14ac:dyDescent="0.25">
      <c r="C32" s="34" t="s">
        <v>50</v>
      </c>
      <c r="D32" s="35" t="s">
        <v>69</v>
      </c>
      <c r="E32" s="35"/>
      <c r="F32" s="35"/>
      <c r="G32" s="35"/>
      <c r="H32" s="36" t="s">
        <v>67</v>
      </c>
      <c r="I32" s="36" t="s">
        <v>68</v>
      </c>
    </row>
    <row r="34" spans="3:8" x14ac:dyDescent="0.25">
      <c r="C34" s="5" t="s">
        <v>51</v>
      </c>
      <c r="D34" s="21">
        <v>102</v>
      </c>
      <c r="E34" s="22"/>
      <c r="F34" s="22"/>
      <c r="G34" s="23"/>
    </row>
    <row r="35" spans="3:8" x14ac:dyDescent="0.25">
      <c r="C35" s="5" t="s">
        <v>52</v>
      </c>
      <c r="D35" s="37" t="e">
        <f>HLOOKUP</f>
        <v>#NAME?</v>
      </c>
      <c r="E35" s="19"/>
      <c r="F35" s="19"/>
      <c r="G35" s="7"/>
    </row>
    <row r="36" spans="3:8" x14ac:dyDescent="0.25">
      <c r="C36" s="5" t="s">
        <v>53</v>
      </c>
      <c r="D36" s="18"/>
      <c r="E36" s="19"/>
      <c r="F36" s="19"/>
      <c r="G36" s="7"/>
    </row>
    <row r="38" spans="3:8" x14ac:dyDescent="0.25">
      <c r="D38" s="20"/>
      <c r="E38" s="20"/>
      <c r="F38" s="20"/>
      <c r="G38" s="20"/>
    </row>
    <row r="39" spans="3:8" x14ac:dyDescent="0.25">
      <c r="D39" t="s">
        <v>55</v>
      </c>
    </row>
    <row r="40" spans="3:8" x14ac:dyDescent="0.25">
      <c r="C40" s="32" t="s">
        <v>56</v>
      </c>
      <c r="D40" s="24" t="s">
        <v>49</v>
      </c>
      <c r="E40" s="25"/>
      <c r="F40" s="25"/>
      <c r="G40" s="26"/>
      <c r="H40" s="32" t="s">
        <v>62</v>
      </c>
    </row>
    <row r="41" spans="3:8" x14ac:dyDescent="0.25">
      <c r="C41" s="4">
        <v>1</v>
      </c>
      <c r="D41" s="9" t="s">
        <v>57</v>
      </c>
      <c r="E41" s="9"/>
      <c r="F41" s="9"/>
      <c r="G41" s="9"/>
      <c r="H41" s="4">
        <v>38</v>
      </c>
    </row>
    <row r="42" spans="3:8" x14ac:dyDescent="0.25">
      <c r="C42" s="4">
        <v>2</v>
      </c>
      <c r="D42" s="28" t="s">
        <v>63</v>
      </c>
      <c r="E42" s="29"/>
      <c r="F42" s="29"/>
      <c r="G42" s="30"/>
      <c r="H42" s="4">
        <v>52</v>
      </c>
    </row>
    <row r="43" spans="3:8" x14ac:dyDescent="0.25">
      <c r="C43" s="4">
        <v>3</v>
      </c>
      <c r="D43" s="9" t="s">
        <v>59</v>
      </c>
      <c r="E43" s="9"/>
      <c r="F43" s="9"/>
      <c r="G43" s="9"/>
      <c r="H43" s="4">
        <v>26</v>
      </c>
    </row>
    <row r="44" spans="3:8" x14ac:dyDescent="0.25">
      <c r="C44" s="4">
        <v>4</v>
      </c>
      <c r="D44" s="31" t="s">
        <v>60</v>
      </c>
      <c r="E44" s="5"/>
      <c r="F44" s="5"/>
      <c r="G44" s="5"/>
      <c r="H44" s="4">
        <v>40</v>
      </c>
    </row>
    <row r="45" spans="3:8" x14ac:dyDescent="0.25">
      <c r="C45" s="4">
        <v>5</v>
      </c>
      <c r="D45" s="28" t="s">
        <v>61</v>
      </c>
      <c r="E45" s="29"/>
      <c r="F45" s="29"/>
      <c r="G45" s="30"/>
      <c r="H45" s="4">
        <v>22</v>
      </c>
    </row>
    <row r="47" spans="3:8" x14ac:dyDescent="0.25">
      <c r="C47" s="6" t="s">
        <v>51</v>
      </c>
      <c r="D47" s="27">
        <v>2</v>
      </c>
      <c r="E47" s="27"/>
      <c r="F47" s="27"/>
      <c r="G47" s="27"/>
      <c r="H47" s="6"/>
    </row>
    <row r="48" spans="3:8" x14ac:dyDescent="0.25">
      <c r="C48" s="6" t="s">
        <v>52</v>
      </c>
      <c r="D48" s="2"/>
      <c r="E48" s="2"/>
      <c r="F48" s="2"/>
      <c r="G48" s="2"/>
      <c r="H48" s="2"/>
    </row>
    <row r="49" spans="3:8" x14ac:dyDescent="0.25">
      <c r="C49" s="6" t="s">
        <v>66</v>
      </c>
      <c r="D49" s="1"/>
      <c r="E49" s="2"/>
      <c r="F49" s="2"/>
      <c r="G49" s="2"/>
      <c r="H49" s="2"/>
    </row>
  </sheetData>
  <mergeCells count="14">
    <mergeCell ref="E49:H49"/>
    <mergeCell ref="D48:H48"/>
    <mergeCell ref="D30:G30"/>
    <mergeCell ref="D31:G31"/>
    <mergeCell ref="D32:G32"/>
    <mergeCell ref="D35:G35"/>
    <mergeCell ref="D36:G36"/>
    <mergeCell ref="D40:G40"/>
    <mergeCell ref="D42:G42"/>
    <mergeCell ref="D45:G45"/>
    <mergeCell ref="D47:G47"/>
    <mergeCell ref="P2:Q2"/>
    <mergeCell ref="P14:Q14"/>
    <mergeCell ref="D34:G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2024-10-09T12:59:07Z</dcterms:created>
  <dcterms:modified xsi:type="dcterms:W3CDTF">2024-10-10T10:39:49Z</dcterms:modified>
</cp:coreProperties>
</file>