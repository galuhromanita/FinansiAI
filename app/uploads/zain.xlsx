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0770" windowHeight="4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" l="1"/>
  <c r="G42" i="1"/>
  <c r="G34" i="1"/>
  <c r="G13" i="1"/>
  <c r="G12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<sst xmlns="http://schemas.openxmlformats.org/spreadsheetml/2006/main" count="79" uniqueCount="65">
  <si>
    <t>No.</t>
  </si>
  <si>
    <t>Jenis</t>
  </si>
  <si>
    <t>Bahan</t>
  </si>
  <si>
    <t>Jumlah</t>
  </si>
  <si>
    <t>Per-satuan</t>
  </si>
  <si>
    <t>Total</t>
  </si>
  <si>
    <t>Daging</t>
  </si>
  <si>
    <t>Basah</t>
  </si>
  <si>
    <t>Ayam</t>
  </si>
  <si>
    <t>Babat</t>
  </si>
  <si>
    <t>3 kg</t>
  </si>
  <si>
    <t>15 kg</t>
  </si>
  <si>
    <t>Ati</t>
  </si>
  <si>
    <t>15 ekor</t>
  </si>
  <si>
    <t>Udang Manis</t>
  </si>
  <si>
    <t>1 kg</t>
  </si>
  <si>
    <t>2 kg</t>
  </si>
  <si>
    <t>Bakso</t>
  </si>
  <si>
    <t>Kering</t>
  </si>
  <si>
    <t>Bawang Merah</t>
  </si>
  <si>
    <t>8 kg</t>
  </si>
  <si>
    <t>Bawang Putih</t>
  </si>
  <si>
    <t>6 kg</t>
  </si>
  <si>
    <t>Bawang Bombay</t>
  </si>
  <si>
    <t xml:space="preserve"> Cabe Rawit Kecil</t>
  </si>
  <si>
    <t>Cabe Rawit Keriting</t>
  </si>
  <si>
    <t>Kentang</t>
  </si>
  <si>
    <t>20 kg</t>
  </si>
  <si>
    <t xml:space="preserve">Emping </t>
  </si>
  <si>
    <t>Beras</t>
  </si>
  <si>
    <t>25 kg</t>
  </si>
  <si>
    <t>Minyak</t>
  </si>
  <si>
    <t xml:space="preserve">Gula </t>
  </si>
  <si>
    <t xml:space="preserve">Garem </t>
  </si>
  <si>
    <t>1 pack</t>
  </si>
  <si>
    <t>1/2 kg</t>
  </si>
  <si>
    <t>Sayur</t>
  </si>
  <si>
    <t>Sawi Putih</t>
  </si>
  <si>
    <t>Jagung Putren</t>
  </si>
  <si>
    <t>Sawi Ijo Manis</t>
  </si>
  <si>
    <t>Wortel</t>
  </si>
  <si>
    <t>Kembang Kol</t>
  </si>
  <si>
    <t>Kemiri</t>
  </si>
  <si>
    <t>Saos Cabe Del Monte</t>
  </si>
  <si>
    <t>2 bungkus</t>
  </si>
  <si>
    <t>Saos Tomat Del Monte</t>
  </si>
  <si>
    <t>10 liter</t>
  </si>
  <si>
    <t>Saori Saos Tiram</t>
  </si>
  <si>
    <t>2 botol</t>
  </si>
  <si>
    <t>Lada Bubuk</t>
  </si>
  <si>
    <t>Ketumbar Bubuk</t>
  </si>
  <si>
    <t xml:space="preserve">Kecap Bango </t>
  </si>
  <si>
    <t>1 bungkus</t>
  </si>
  <si>
    <t>Lengkoas</t>
  </si>
  <si>
    <t>5 kg</t>
  </si>
  <si>
    <t>Jahe</t>
  </si>
  <si>
    <t>Kunyit</t>
  </si>
  <si>
    <t>1/4 kg</t>
  </si>
  <si>
    <t>Daun Salam</t>
  </si>
  <si>
    <t>Daun Jeruk</t>
  </si>
  <si>
    <t>Sereh</t>
  </si>
  <si>
    <t xml:space="preserve">Kacang Tanah yang sudah di kupas </t>
  </si>
  <si>
    <t>Micin (sasa)</t>
  </si>
  <si>
    <t>1 renteng</t>
  </si>
  <si>
    <t>ZAIN SUNAT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</si>
</sst>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5" formatCode="_([$IDR]\ * #,##0.00_);_([$IDR]\ * \(#,##0.00\);_([$IDR]\ 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4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/>
    <xf numFmtId="0" fontId="0" fillId="0" borderId="0" xfId="0" applyBorder="1"/>
    <xf numFmtId="0" fontId="0" fillId="0" borderId="1" xfId="0" applyBorder="1" applyAlignment="1">
      <alignment horizontal="center" vertical="center"/>
    </xf>
    <xf numFmtId="165" fontId="0" fillId="0" borderId="0" xfId="1" applyNumberFormat="1" applyFont="1" applyAlignment="1"/>
    <xf numFmtId="165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2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3"/>
  <sheetViews>
    <sheetView tabSelected="1" topLeftCell="A32" zoomScaleNormal="100" workbookViewId="0">
      <selection activeCell="F50" sqref="F50"/>
    </sheetView>
  </sheetViews>
  <sheetFormatPr defaultRowHeight="15" x14ac:dyDescent="0.25"/>
  <cols>
    <col min="3" max="3" width="20.7109375" style="2" customWidth="1"/>
    <col min="4" max="4" width="32" bestFit="1" customWidth="1"/>
    <col min="5" max="5" width="17.28515625" customWidth="1"/>
    <col min="6" max="6" width="21" style="6" customWidth="1"/>
    <col min="7" max="7" width="27" style="6" customWidth="1"/>
  </cols>
  <sheetData>
    <row r="1" spans="2:15" ht="15" customHeight="1" x14ac:dyDescent="0.25">
      <c r="C1" s="13" t="s">
        <v>64</v>
      </c>
      <c r="D1" s="12"/>
      <c r="E1" s="12"/>
      <c r="F1" s="12"/>
      <c r="G1" s="4"/>
      <c r="H1" s="1"/>
      <c r="I1" s="1"/>
      <c r="J1" s="1"/>
      <c r="K1" s="1"/>
      <c r="L1" s="1"/>
      <c r="M1" s="1"/>
      <c r="N1" s="1"/>
      <c r="O1" s="1"/>
    </row>
    <row r="2" spans="2:15" x14ac:dyDescent="0.25">
      <c r="C2" s="12"/>
      <c r="D2" s="12"/>
      <c r="E2" s="12"/>
      <c r="F2" s="12"/>
      <c r="G2" s="4"/>
      <c r="H2" s="1"/>
      <c r="I2" s="1"/>
      <c r="J2" s="1"/>
      <c r="K2" s="1"/>
      <c r="L2" s="1"/>
      <c r="M2" s="1"/>
      <c r="N2" s="1"/>
      <c r="O2" s="1"/>
    </row>
    <row r="3" spans="2:15" x14ac:dyDescent="0.25">
      <c r="C3" s="12"/>
      <c r="D3" s="12"/>
      <c r="E3" s="12"/>
      <c r="F3" s="12"/>
      <c r="G3" s="4"/>
      <c r="H3" s="1"/>
      <c r="I3" s="1"/>
      <c r="J3" s="1"/>
      <c r="K3" s="1"/>
      <c r="L3" s="1"/>
      <c r="M3" s="1"/>
      <c r="N3" s="1"/>
      <c r="O3" s="1"/>
    </row>
    <row r="5" spans="2:15" x14ac:dyDescent="0.25">
      <c r="B5" s="10" t="s">
        <v>0</v>
      </c>
      <c r="C5" s="3" t="s">
        <v>1</v>
      </c>
      <c r="D5" s="11" t="s">
        <v>2</v>
      </c>
      <c r="E5" s="3" t="s">
        <v>3</v>
      </c>
      <c r="F5" s="5" t="s">
        <v>4</v>
      </c>
      <c r="G5" s="5" t="s">
        <v>5</v>
      </c>
    </row>
    <row r="6" spans="2:15" x14ac:dyDescent="0.25">
      <c r="B6" s="10">
        <v>1</v>
      </c>
      <c r="C6" s="7" t="s">
        <v>6</v>
      </c>
      <c r="D6" s="11" t="s">
        <v>6</v>
      </c>
      <c r="E6" s="3" t="s">
        <v>11</v>
      </c>
      <c r="F6" s="5">
        <v>160000</v>
      </c>
      <c r="G6" s="5">
        <f>(F6*15)</f>
        <v>2400000</v>
      </c>
    </row>
    <row r="7" spans="2:15" x14ac:dyDescent="0.25">
      <c r="B7" s="10">
        <v>2</v>
      </c>
      <c r="C7" s="8"/>
      <c r="D7" s="11" t="s">
        <v>9</v>
      </c>
      <c r="E7" s="3" t="s">
        <v>10</v>
      </c>
      <c r="F7" s="5">
        <v>80000</v>
      </c>
      <c r="G7" s="5">
        <f>(F7*3)</f>
        <v>240000</v>
      </c>
    </row>
    <row r="8" spans="2:15" x14ac:dyDescent="0.25">
      <c r="B8" s="10">
        <v>3</v>
      </c>
      <c r="C8" s="8"/>
      <c r="D8" s="11" t="s">
        <v>12</v>
      </c>
      <c r="E8" s="3" t="s">
        <v>10</v>
      </c>
      <c r="F8" s="5">
        <v>80000</v>
      </c>
      <c r="G8" s="5">
        <f>(F8*3)</f>
        <v>240000</v>
      </c>
    </row>
    <row r="9" spans="2:15" x14ac:dyDescent="0.25">
      <c r="B9" s="10">
        <v>4</v>
      </c>
      <c r="C9" s="8"/>
      <c r="D9" s="11" t="s">
        <v>8</v>
      </c>
      <c r="E9" s="3" t="s">
        <v>13</v>
      </c>
      <c r="F9" s="5">
        <v>60000</v>
      </c>
      <c r="G9" s="5">
        <f>(F9*15)</f>
        <v>900000</v>
      </c>
    </row>
    <row r="10" spans="2:15" x14ac:dyDescent="0.25">
      <c r="B10" s="10">
        <v>5</v>
      </c>
      <c r="C10" s="8"/>
      <c r="D10" s="11" t="s">
        <v>14</v>
      </c>
      <c r="E10" s="3" t="s">
        <v>16</v>
      </c>
      <c r="F10" s="5">
        <v>60000</v>
      </c>
      <c r="G10" s="5">
        <f>(F10*2)</f>
        <v>120000</v>
      </c>
    </row>
    <row r="11" spans="2:15" x14ac:dyDescent="0.25">
      <c r="B11" s="10">
        <v>6</v>
      </c>
      <c r="C11" s="9"/>
      <c r="D11" s="11" t="s">
        <v>17</v>
      </c>
      <c r="E11" s="3" t="s">
        <v>15</v>
      </c>
      <c r="F11" s="5"/>
      <c r="G11" s="5">
        <v>100000</v>
      </c>
    </row>
    <row r="12" spans="2:15" x14ac:dyDescent="0.25">
      <c r="B12" s="10">
        <v>7</v>
      </c>
      <c r="C12" s="7" t="s">
        <v>7</v>
      </c>
      <c r="D12" s="11" t="s">
        <v>19</v>
      </c>
      <c r="E12" s="3" t="s">
        <v>20</v>
      </c>
      <c r="F12" s="5">
        <v>60000</v>
      </c>
      <c r="G12" s="5">
        <f>(F12*8)</f>
        <v>480000</v>
      </c>
    </row>
    <row r="13" spans="2:15" x14ac:dyDescent="0.25">
      <c r="B13" s="10">
        <v>8</v>
      </c>
      <c r="C13" s="8"/>
      <c r="D13" s="11" t="s">
        <v>21</v>
      </c>
      <c r="E13" s="3" t="s">
        <v>22</v>
      </c>
      <c r="F13" s="5">
        <v>60000</v>
      </c>
      <c r="G13" s="5">
        <f>(F13*6)</f>
        <v>360000</v>
      </c>
    </row>
    <row r="14" spans="2:15" x14ac:dyDescent="0.25">
      <c r="B14" s="10">
        <v>9</v>
      </c>
      <c r="C14" s="8"/>
      <c r="D14" s="11" t="s">
        <v>23</v>
      </c>
      <c r="E14" s="3" t="s">
        <v>16</v>
      </c>
      <c r="F14" s="5">
        <v>45000</v>
      </c>
      <c r="G14" s="5">
        <v>90000</v>
      </c>
    </row>
    <row r="15" spans="2:15" x14ac:dyDescent="0.25">
      <c r="B15" s="10">
        <v>10</v>
      </c>
      <c r="C15" s="8"/>
      <c r="D15" s="11" t="s">
        <v>24</v>
      </c>
      <c r="E15" s="3" t="s">
        <v>15</v>
      </c>
      <c r="F15" s="5"/>
      <c r="G15" s="5">
        <v>30000</v>
      </c>
    </row>
    <row r="16" spans="2:15" x14ac:dyDescent="0.25">
      <c r="B16" s="10">
        <v>11</v>
      </c>
      <c r="C16" s="8"/>
      <c r="D16" s="11" t="s">
        <v>25</v>
      </c>
      <c r="E16" s="3" t="s">
        <v>16</v>
      </c>
      <c r="F16" s="5">
        <v>30000</v>
      </c>
      <c r="G16" s="5">
        <v>60000</v>
      </c>
    </row>
    <row r="17" spans="2:7" x14ac:dyDescent="0.25">
      <c r="B17" s="10">
        <v>12</v>
      </c>
      <c r="C17" s="8"/>
      <c r="D17" s="11" t="s">
        <v>61</v>
      </c>
      <c r="E17" s="3" t="s">
        <v>15</v>
      </c>
      <c r="F17" s="5"/>
      <c r="G17" s="5">
        <v>15000</v>
      </c>
    </row>
    <row r="18" spans="2:7" x14ac:dyDescent="0.25">
      <c r="B18" s="10">
        <v>13</v>
      </c>
      <c r="C18" s="8"/>
      <c r="D18" s="11" t="s">
        <v>53</v>
      </c>
      <c r="E18" s="3" t="s">
        <v>54</v>
      </c>
      <c r="F18" s="5">
        <v>10000</v>
      </c>
      <c r="G18" s="5">
        <v>50000</v>
      </c>
    </row>
    <row r="19" spans="2:7" x14ac:dyDescent="0.25">
      <c r="B19" s="10">
        <v>14</v>
      </c>
      <c r="C19" s="8"/>
      <c r="D19" s="11" t="s">
        <v>55</v>
      </c>
      <c r="E19" s="3" t="s">
        <v>35</v>
      </c>
      <c r="F19" s="5"/>
      <c r="G19" s="5">
        <v>15000</v>
      </c>
    </row>
    <row r="20" spans="2:7" x14ac:dyDescent="0.25">
      <c r="B20" s="10">
        <v>15</v>
      </c>
      <c r="C20" s="8"/>
      <c r="D20" s="11" t="s">
        <v>56</v>
      </c>
      <c r="E20" s="3" t="s">
        <v>57</v>
      </c>
      <c r="F20" s="5"/>
      <c r="G20" s="5">
        <v>10000</v>
      </c>
    </row>
    <row r="21" spans="2:7" x14ac:dyDescent="0.25">
      <c r="B21" s="10">
        <v>16</v>
      </c>
      <c r="C21" s="8"/>
      <c r="D21" s="11" t="s">
        <v>58</v>
      </c>
      <c r="E21" s="3"/>
      <c r="F21" s="5"/>
      <c r="G21" s="5">
        <v>5000</v>
      </c>
    </row>
    <row r="22" spans="2:7" x14ac:dyDescent="0.25">
      <c r="B22" s="10">
        <v>17</v>
      </c>
      <c r="C22" s="8"/>
      <c r="D22" s="11" t="s">
        <v>59</v>
      </c>
      <c r="E22" s="3"/>
      <c r="F22" s="5"/>
      <c r="G22" s="5">
        <v>5000</v>
      </c>
    </row>
    <row r="23" spans="2:7" x14ac:dyDescent="0.25">
      <c r="B23" s="10">
        <v>18</v>
      </c>
      <c r="C23" s="9"/>
      <c r="D23" s="11" t="s">
        <v>60</v>
      </c>
      <c r="E23" s="3" t="s">
        <v>15</v>
      </c>
      <c r="F23" s="5"/>
      <c r="G23" s="5">
        <v>10000</v>
      </c>
    </row>
    <row r="24" spans="2:7" x14ac:dyDescent="0.25">
      <c r="B24" s="10">
        <v>19</v>
      </c>
      <c r="C24" s="7" t="s">
        <v>18</v>
      </c>
      <c r="D24" s="11" t="s">
        <v>42</v>
      </c>
      <c r="E24" s="3" t="s">
        <v>35</v>
      </c>
      <c r="F24" s="5"/>
      <c r="G24" s="5">
        <v>40000</v>
      </c>
    </row>
    <row r="25" spans="2:7" x14ac:dyDescent="0.25">
      <c r="B25" s="10">
        <v>20</v>
      </c>
      <c r="C25" s="8"/>
      <c r="D25" s="11" t="s">
        <v>43</v>
      </c>
      <c r="E25" s="3" t="s">
        <v>44</v>
      </c>
      <c r="F25" s="5"/>
      <c r="G25" s="5"/>
    </row>
    <row r="26" spans="2:7" x14ac:dyDescent="0.25">
      <c r="B26" s="10">
        <v>21</v>
      </c>
      <c r="C26" s="8"/>
      <c r="D26" s="11" t="s">
        <v>45</v>
      </c>
      <c r="E26" s="3" t="s">
        <v>44</v>
      </c>
      <c r="F26" s="5"/>
      <c r="G26" s="5"/>
    </row>
    <row r="27" spans="2:7" x14ac:dyDescent="0.25">
      <c r="B27" s="10">
        <v>22</v>
      </c>
      <c r="C27" s="8"/>
      <c r="D27" s="11" t="s">
        <v>47</v>
      </c>
      <c r="E27" s="3" t="s">
        <v>48</v>
      </c>
      <c r="F27" s="5"/>
      <c r="G27" s="5"/>
    </row>
    <row r="28" spans="2:7" x14ac:dyDescent="0.25">
      <c r="B28" s="10">
        <v>23</v>
      </c>
      <c r="C28" s="8"/>
      <c r="D28" s="11" t="s">
        <v>49</v>
      </c>
      <c r="E28" s="3" t="s">
        <v>63</v>
      </c>
      <c r="F28" s="5"/>
      <c r="G28" s="5"/>
    </row>
    <row r="29" spans="2:7" x14ac:dyDescent="0.25">
      <c r="B29" s="10">
        <v>24</v>
      </c>
      <c r="C29" s="8"/>
      <c r="D29" s="11" t="s">
        <v>50</v>
      </c>
      <c r="E29" s="3" t="s">
        <v>63</v>
      </c>
      <c r="F29" s="5"/>
      <c r="G29" s="5"/>
    </row>
    <row r="30" spans="2:7" x14ac:dyDescent="0.25">
      <c r="B30" s="10">
        <v>25</v>
      </c>
      <c r="C30" s="8"/>
      <c r="D30" s="11" t="s">
        <v>51</v>
      </c>
      <c r="E30" s="3" t="s">
        <v>52</v>
      </c>
      <c r="F30" s="5"/>
      <c r="G30" s="5"/>
    </row>
    <row r="31" spans="2:7" x14ac:dyDescent="0.25">
      <c r="B31" s="10">
        <v>26</v>
      </c>
      <c r="C31" s="8"/>
      <c r="D31" s="11" t="s">
        <v>28</v>
      </c>
      <c r="E31" s="3" t="s">
        <v>10</v>
      </c>
      <c r="F31" s="5">
        <v>100000</v>
      </c>
      <c r="G31" s="5">
        <v>300000</v>
      </c>
    </row>
    <row r="32" spans="2:7" x14ac:dyDescent="0.25">
      <c r="B32" s="10">
        <v>27</v>
      </c>
      <c r="C32" s="8"/>
      <c r="D32" s="11" t="s">
        <v>29</v>
      </c>
      <c r="E32" s="3" t="s">
        <v>30</v>
      </c>
      <c r="F32" s="5"/>
      <c r="G32" s="5">
        <v>400000</v>
      </c>
    </row>
    <row r="33" spans="2:7" x14ac:dyDescent="0.25">
      <c r="B33" s="10">
        <v>28</v>
      </c>
      <c r="C33" s="8"/>
      <c r="D33" s="11" t="s">
        <v>31</v>
      </c>
      <c r="E33" s="3" t="s">
        <v>46</v>
      </c>
      <c r="F33" s="5">
        <v>35000</v>
      </c>
      <c r="G33" s="5">
        <v>175000</v>
      </c>
    </row>
    <row r="34" spans="2:7" x14ac:dyDescent="0.25">
      <c r="B34" s="10">
        <v>29</v>
      </c>
      <c r="C34" s="8"/>
      <c r="D34" s="11" t="s">
        <v>32</v>
      </c>
      <c r="E34" s="3" t="s">
        <v>10</v>
      </c>
      <c r="F34" s="5">
        <v>16000</v>
      </c>
      <c r="G34" s="5">
        <f>(F34*3)</f>
        <v>48000</v>
      </c>
    </row>
    <row r="35" spans="2:7" x14ac:dyDescent="0.25">
      <c r="B35" s="10">
        <v>30</v>
      </c>
      <c r="C35" s="8"/>
      <c r="D35" s="11" t="s">
        <v>33</v>
      </c>
      <c r="E35" s="3" t="s">
        <v>34</v>
      </c>
      <c r="F35" s="5"/>
      <c r="G35" s="5">
        <v>25000</v>
      </c>
    </row>
    <row r="36" spans="2:7" x14ac:dyDescent="0.25">
      <c r="B36" s="10">
        <v>31</v>
      </c>
      <c r="C36" s="9"/>
      <c r="D36" s="11" t="s">
        <v>62</v>
      </c>
      <c r="E36" s="3" t="s">
        <v>35</v>
      </c>
      <c r="F36" s="5"/>
      <c r="G36" s="5">
        <v>30000</v>
      </c>
    </row>
    <row r="37" spans="2:7" x14ac:dyDescent="0.25">
      <c r="B37" s="10">
        <v>32</v>
      </c>
      <c r="C37" s="7" t="s">
        <v>36</v>
      </c>
      <c r="D37" s="11" t="s">
        <v>37</v>
      </c>
      <c r="E37" s="3"/>
      <c r="F37" s="5"/>
      <c r="G37" s="5"/>
    </row>
    <row r="38" spans="2:7" x14ac:dyDescent="0.25">
      <c r="B38" s="10">
        <v>33</v>
      </c>
      <c r="C38" s="8"/>
      <c r="D38" s="11" t="s">
        <v>38</v>
      </c>
      <c r="E38" s="3"/>
      <c r="F38" s="5"/>
      <c r="G38" s="5"/>
    </row>
    <row r="39" spans="2:7" x14ac:dyDescent="0.25">
      <c r="B39" s="10">
        <v>34</v>
      </c>
      <c r="C39" s="8"/>
      <c r="D39" s="11" t="s">
        <v>39</v>
      </c>
      <c r="E39" s="3"/>
      <c r="F39" s="5"/>
      <c r="G39" s="5"/>
    </row>
    <row r="40" spans="2:7" x14ac:dyDescent="0.25">
      <c r="B40" s="10">
        <v>35</v>
      </c>
      <c r="C40" s="8"/>
      <c r="D40" s="11" t="s">
        <v>40</v>
      </c>
      <c r="E40" s="3" t="s">
        <v>16</v>
      </c>
      <c r="F40" s="5"/>
      <c r="G40" s="5"/>
    </row>
    <row r="41" spans="2:7" x14ac:dyDescent="0.25">
      <c r="B41" s="10">
        <v>36</v>
      </c>
      <c r="C41" s="8"/>
      <c r="D41" s="11" t="s">
        <v>41</v>
      </c>
      <c r="E41" s="3"/>
      <c r="F41" s="5"/>
      <c r="G41" s="5"/>
    </row>
    <row r="42" spans="2:7" x14ac:dyDescent="0.25">
      <c r="B42" s="10">
        <v>37</v>
      </c>
      <c r="C42" s="9"/>
      <c r="D42" s="11" t="s">
        <v>26</v>
      </c>
      <c r="E42" s="3" t="s">
        <v>27</v>
      </c>
      <c r="F42" s="5">
        <v>25000</v>
      </c>
      <c r="G42" s="5">
        <f>(F42*20)</f>
        <v>500000</v>
      </c>
    </row>
    <row r="43" spans="2:7" x14ac:dyDescent="0.25">
      <c r="G43" s="14">
        <f>SUM(G6:G42)</f>
        <v>6648000</v>
      </c>
    </row>
  </sheetData>
  <mergeCells count="5">
    <mergeCell ref="C6:C11"/>
    <mergeCell ref="C12:C23"/>
    <mergeCell ref="C1:F3"/>
    <mergeCell ref="C37:C42"/>
    <mergeCell ref="C24:C3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2024-11-22T03:08:50Z</dcterms:created>
  <dcterms:modified xsi:type="dcterms:W3CDTF">2024-11-22T03:51:41Z</dcterms:modified>
</cp:coreProperties>
</file>